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c8c95cb8aea60d/Desktop/"/>
    </mc:Choice>
  </mc:AlternateContent>
  <xr:revisionPtr revIDLastSave="0" documentId="8_{90379414-CC1D-40BC-9E29-982F218EC931}" xr6:coauthVersionLast="47" xr6:coauthVersionMax="47" xr10:uidLastSave="{00000000-0000-0000-0000-000000000000}"/>
  <bookViews>
    <workbookView xWindow="-108" yWindow="-108" windowWidth="23256" windowHeight="12456" activeTab="1" xr2:uid="{02EED344-F29A-4C32-8CEF-7302AF8A2261}"/>
  </bookViews>
  <sheets>
    <sheet name="Sales Data" sheetId="1" r:id="rId1"/>
    <sheet name="Monthly Sales Tr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9" i="2"/>
  <c r="B10" i="2"/>
  <c r="B11" i="2"/>
  <c r="B12" i="2"/>
  <c r="B13" i="2"/>
  <c r="B14" i="2"/>
  <c r="B15" i="2"/>
  <c r="B16" i="2"/>
  <c r="B17" i="2"/>
  <c r="B18" i="2"/>
  <c r="B7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</calcChain>
</file>

<file path=xl/sharedStrings.xml><?xml version="1.0" encoding="utf-8"?>
<sst xmlns="http://schemas.openxmlformats.org/spreadsheetml/2006/main" count="70" uniqueCount="34">
  <si>
    <t>Order Date</t>
  </si>
  <si>
    <t>Product</t>
  </si>
  <si>
    <t>Category</t>
  </si>
  <si>
    <t>Sales</t>
  </si>
  <si>
    <t>Keyboard</t>
  </si>
  <si>
    <t>Technology</t>
  </si>
  <si>
    <t>Notebook</t>
  </si>
  <si>
    <t>Office Supplies</t>
  </si>
  <si>
    <t>Office Chair</t>
  </si>
  <si>
    <t>Furniture</t>
  </si>
  <si>
    <t>Mouse</t>
  </si>
  <si>
    <t>Laptop</t>
  </si>
  <si>
    <t>Pen Set</t>
  </si>
  <si>
    <t>Desk</t>
  </si>
  <si>
    <t>Monitor</t>
  </si>
  <si>
    <t>Printer</t>
  </si>
  <si>
    <t>Backpack</t>
  </si>
  <si>
    <t>MONTHLY SALES SUMMARY</t>
  </si>
  <si>
    <t>Month</t>
  </si>
  <si>
    <t>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</si>
  <si>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</si>
  <si>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</si>
  <si>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</si>
  <si>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</si>
  <si>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</si>
  <si>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</si>
  <si>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</si>
  <si>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</si>
  <si>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</si>
  <si>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</si>
  <si>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</si>
  <si>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</si>
  <si>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TREND ANALYSIS</t>
  </si>
  <si>
    <t>Monthly Sales Performance —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</si>
</sst>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409]d/mmm/yy;@"/>
    <numFmt numFmtId="167" formatCode="&quot;₹&quot;\ #,##0.00;[Red]&quot;₹&quot;\ #,##0.0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center"/>
    </xf>
    <xf numFmtId="2" fontId="0" fillId="0" borderId="0" xfId="0" applyNumberFormat="1"/>
    <xf numFmtId="166" fontId="0" fillId="0" borderId="0" xfId="0" applyNumberFormat="1"/>
    <xf numFmtId="0" fontId="0" fillId="0" borderId="0" xfId="0" applyFill="1" applyBorder="1"/>
    <xf numFmtId="0" fontId="3" fillId="0" borderId="0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10">
    <dxf>
      <numFmt numFmtId="167" formatCode="&quot;₹&quot;\ #,##0.00;[Red]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166" formatCode="[$-409]d/mmm/yy;@"/>
    </dxf>
    <dxf>
      <numFmt numFmtId="2" formatCode="0.00"/>
    </dxf>
    <dxf>
      <font>
        <b/>
        <strike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accent1"/>
                </a:solidFill>
              </a:rPr>
              <a:t>Monthly Sales Trend —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Trend'!$A$7:$A$18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Trend'!$B$7:$B$18</c:f>
              <c:numCache>
                <c:formatCode>"₹"\ #,##0.00;[Red]"₹"\ #,##0.00</c:formatCode>
                <c:ptCount val="12"/>
                <c:pt idx="0">
                  <c:v>5631.63</c:v>
                </c:pt>
                <c:pt idx="1">
                  <c:v>6924.21</c:v>
                </c:pt>
                <c:pt idx="2">
                  <c:v>5765.65</c:v>
                </c:pt>
                <c:pt idx="3">
                  <c:v>7376.35</c:v>
                </c:pt>
                <c:pt idx="4">
                  <c:v>5231.1499999999996</c:v>
                </c:pt>
                <c:pt idx="5">
                  <c:v>5636.2000000000007</c:v>
                </c:pt>
                <c:pt idx="6">
                  <c:v>7125.85</c:v>
                </c:pt>
                <c:pt idx="7">
                  <c:v>5640.95</c:v>
                </c:pt>
                <c:pt idx="8">
                  <c:v>5331.05</c:v>
                </c:pt>
                <c:pt idx="9">
                  <c:v>5606.05</c:v>
                </c:pt>
                <c:pt idx="10">
                  <c:v>9131.2999999999993</c:v>
                </c:pt>
                <c:pt idx="11">
                  <c:v>6640.9500000000007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2-4B35-9F9B-9768AB994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337728"/>
        <c:axId val="221335824"/>
      </c:lineChart>
      <c:catAx>
        <c:axId val="3523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335824"/>
        <c:crosses val="autoZero"/>
        <c:auto val="1"/>
        <c:lblAlgn val="ctr"/>
        <c:lblOffset val="100"/>
        <c:noMultiLvlLbl val="0"/>
      </c:catAx>
      <c:valAx>
        <c:axId val="221335824"/>
        <c:scaling>
          <c:orientation val="minMax"/>
        </c:scaling>
        <c:delete val="0"/>
        <c:axPos val="l"/>
        <c:numFmt formatCode="&quot;₹&quot;\ #,##0.00;[Red]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33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274319</xdr:colOff>
      <xdr:row>5</xdr:row>
      <xdr:rowOff>22860</xdr:rowOff>
    </xdr:from>
    <xdr:to>
      <xdr:col>8</xdr:col>
      <xdr:colOff>332358</xdr:colOff>
      <xdr:row>18</xdr:row>
      <xdr:rowOff>30479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5232C7-A038-1E9F-CF97-32FE59F95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1013460</xdr:colOff>
      <xdr:row>19</xdr:row>
      <xdr:rowOff>62020</xdr:rowOff>
    </xdr:from>
    <xdr:to>
      <xdr:col>5</xdr:col>
      <xdr:colOff>15240</xdr:colOff>
      <xdr:row>27</xdr:row>
      <xdr:rowOff>15240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04E44A8-881A-D738-3411-3CB402C6D70A}"/>
            </a:ext>
          </a:extLst>
        </xdr:cNvPr>
        <xdr:cNvSpPr/>
      </xdr:nvSpPr>
      <xdr:spPr>
        <a:xfrm>
          <a:off x="1013460" y="3689140"/>
          <a:ext cx="3672840" cy="1507700"/>
        </a:xfrm>
        <a:prstGeom prst="roundRect">
          <a:avLst/>
        </a:prstGeom>
        <a:ln>
          <a:solidFill>
            <a:srgbClr val="002060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0"/>
          <a:r>
            <a:rPr lang="en-IN" sz="1400" b="1" i="1">
              <a:solidFill>
                <a:schemeClr val="lt1"/>
              </a:solidFill>
              <a:latin typeface="+mn-lt"/>
              <a:ea typeface="+mn-ea"/>
              <a:cs typeface="+mn-cs"/>
            </a:rPr>
            <a:t>KEY INSIGHTS</a:t>
          </a:r>
          <a:endParaRPr lang="en-IN" sz="1400" b="1" i="1"/>
        </a:p>
        <a:p>
          <a:pPr rtl="0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• November recorded the highest monthly sales of ₹9,131.30.</a:t>
          </a:r>
          <a:endParaRPr lang="en-IN"/>
        </a:p>
        <a:p>
          <a:pPr rtl="0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• May recorded the lowest monthly sales of ₹5,231.15.</a:t>
          </a:r>
          <a:endParaRPr lang="en-IN"/>
        </a:p>
        <a:p>
          <a:pPr rtl="0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• Monthly sales show noticeable fluctuations throughout 2025.</a:t>
          </a:r>
          <a:endParaRPr lang="en-IN"/>
        </a:p>
        <a:p>
          <a:pPr rtl="0"/>
          <a:r>
            <a:rPr lang="en-IN" sz="1100">
              <a:solidFill>
                <a:schemeClr val="lt1"/>
              </a:solidFill>
              <a:latin typeface="+mn-lt"/>
              <a:ea typeface="+mn-ea"/>
              <a:cs typeface="+mn-cs"/>
            </a:rPr>
            <a:t>• Total sales for 2025 were ₹76,041.34.</a:t>
          </a:r>
        </a:p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3A486-ACEB-4265-BBC8-1A6B3275944E}" name="Table1" displayName="Table1" ref="A1:E25" totalsRowShown="0" headerRowDxfId="9">
  <autoFilter ref="A1:E25" xr:uid="{3503A486-ACEB-4265-BBC8-1A6B3275944E}"/>
  <tableColumns count="5">
    <tableColumn id="1" xr3:uid="{C959FF73-7D0E-43ED-878D-17F149A53789}" name="Order Date" dataDxfId="7"/>
    <tableColumn id="2" xr3:uid="{BD57B608-732D-4E20-8F96-33F930885D02}" name="Product"/>
    <tableColumn id="3" xr3:uid="{E4461155-F532-4E8A-B7E5-2A81C2FAF336}" name="Category"/>
    <tableColumn id="4" xr3:uid="{AAF69861-2F91-4169-A192-593EF437373B}" name="Sales" dataDxfId="8"/>
    <tableColumn id="5" xr3:uid="{14FBDAF0-D68F-45D5-8190-8E91433F995E}" name="Month" dataDxfId="6">
      <calculatedColumnFormula>TEXT(A2,"mmm")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161BE7-F4D4-44EA-A42A-5E3A0E874A74}" name="Table2" displayName="Table2" ref="A6:B18" totalsRowShown="0" headerRowDxfId="1" headerRowBorderDxfId="4" tableBorderDxfId="5" totalsRowBorderDxfId="3">
  <autoFilter ref="A6:B18" xr:uid="{18161BE7-F4D4-44EA-A42A-5E3A0E874A74}"/>
  <tableColumns count="2">
    <tableColumn id="1" xr3:uid="{8C75064C-EFF9-40B5-AE82-2AED10EB888B}" name="Month" dataDxfId="2"/>
    <tableColumn id="2" xr3:uid="{23339463-E08E-4C8D-81DB-5BBB17330703}" name="Total Sales" dataDxfId="0">
      <calculatedColumnFormula>SUMIF('Sales Data'!$E$2:$E$25,A7,'Sales Data'!$D$2:$D$25)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BEEB-CB66-4AC3-BB34-36455012A3F1}">
  <dimension ref="A1:J25"/>
  <sheetViews>
    <sheetView workbookViewId="0">
      <selection activeCell="L21" sqref="L21"/>
    </sheetView>
  </sheetViews>
  <sheetFormatPr defaultRowHeight="14.4" x14ac:dyDescent="0.3"/>
  <cols>
    <col min="1" max="1" width="19.6640625" bestFit="1" customWidth="1"/>
    <col min="2" max="2" width="15.33203125" bestFit="1" customWidth="1"/>
    <col min="3" max="3" width="16.88671875" bestFit="1" customWidth="1"/>
    <col min="4" max="4" width="12.109375" bestFit="1" customWidth="1"/>
    <col min="5" max="5" width="14.109375" bestFit="1" customWidth="1"/>
    <col min="7" max="7" width="6.44140625" bestFit="1" customWidth="1"/>
    <col min="8" max="8" width="9.77734375" bestFit="1" customWidth="1"/>
  </cols>
  <sheetData>
    <row r="1" spans="1:10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4"/>
      <c r="G1" s="5"/>
      <c r="H1" s="5"/>
      <c r="I1" s="5"/>
      <c r="J1" s="5"/>
    </row>
    <row r="2" spans="1:10" x14ac:dyDescent="0.3">
      <c r="A2" s="3">
        <v>45661</v>
      </c>
      <c r="B2" t="s">
        <v>4</v>
      </c>
      <c r="C2" t="s">
        <v>5</v>
      </c>
      <c r="D2" s="2">
        <v>3535.98</v>
      </c>
      <c r="E2" t="str">
        <f t="shared" ref="E2:E25" si="0">TEXT(A2,"mmm")</f>
        <v>Jan</v>
      </c>
      <c r="F2" s="4"/>
      <c r="G2" s="4"/>
      <c r="H2" s="4"/>
      <c r="I2" s="4"/>
      <c r="J2" s="4"/>
    </row>
    <row r="3" spans="1:10" x14ac:dyDescent="0.3">
      <c r="A3" s="3">
        <v>45674</v>
      </c>
      <c r="B3" t="s">
        <v>6</v>
      </c>
      <c r="C3" t="s">
        <v>7</v>
      </c>
      <c r="D3" s="2">
        <v>2095.65</v>
      </c>
      <c r="E3" t="str">
        <f t="shared" si="0"/>
        <v>Jan</v>
      </c>
      <c r="F3" s="4"/>
      <c r="G3" s="4"/>
      <c r="H3" s="4"/>
      <c r="I3" s="4"/>
      <c r="J3" s="4"/>
    </row>
    <row r="4" spans="1:10" x14ac:dyDescent="0.3">
      <c r="A4" s="3">
        <v>45691</v>
      </c>
      <c r="B4" t="s">
        <v>8</v>
      </c>
      <c r="C4" t="s">
        <v>9</v>
      </c>
      <c r="D4" s="2">
        <v>4578.71</v>
      </c>
      <c r="E4" t="str">
        <f t="shared" si="0"/>
        <v>Feb</v>
      </c>
      <c r="F4" s="4"/>
      <c r="G4" s="4"/>
      <c r="H4" s="4"/>
      <c r="I4" s="4"/>
      <c r="J4" s="4"/>
    </row>
    <row r="5" spans="1:10" x14ac:dyDescent="0.3">
      <c r="A5" s="3">
        <v>45706</v>
      </c>
      <c r="B5" t="s">
        <v>10</v>
      </c>
      <c r="C5" t="s">
        <v>5</v>
      </c>
      <c r="D5" s="2">
        <v>2345.5</v>
      </c>
      <c r="E5" t="str">
        <f t="shared" si="0"/>
        <v>Feb</v>
      </c>
      <c r="F5" s="4"/>
      <c r="G5" s="4"/>
      <c r="H5" s="4"/>
      <c r="I5" s="4"/>
      <c r="J5" s="4"/>
    </row>
    <row r="6" spans="1:10" x14ac:dyDescent="0.3">
      <c r="A6" s="3">
        <v>45721</v>
      </c>
      <c r="B6" t="s">
        <v>11</v>
      </c>
      <c r="C6" t="s">
        <v>5</v>
      </c>
      <c r="D6" s="2">
        <v>4890.25</v>
      </c>
      <c r="E6" t="str">
        <f t="shared" si="0"/>
        <v>Mar</v>
      </c>
      <c r="F6" s="4"/>
      <c r="G6" s="4"/>
      <c r="H6" s="4"/>
      <c r="I6" s="4"/>
      <c r="J6" s="4"/>
    </row>
    <row r="7" spans="1:10" x14ac:dyDescent="0.3">
      <c r="A7" s="3">
        <v>45737</v>
      </c>
      <c r="B7" t="s">
        <v>12</v>
      </c>
      <c r="C7" t="s">
        <v>7</v>
      </c>
      <c r="D7" s="2">
        <v>875.4</v>
      </c>
      <c r="E7" t="str">
        <f t="shared" si="0"/>
        <v>Mar</v>
      </c>
      <c r="F7" s="4"/>
      <c r="G7" s="4"/>
      <c r="H7" s="4"/>
      <c r="I7" s="4"/>
      <c r="J7" s="4"/>
    </row>
    <row r="8" spans="1:10" x14ac:dyDescent="0.3">
      <c r="A8" s="3">
        <v>45754</v>
      </c>
      <c r="B8" t="s">
        <v>13</v>
      </c>
      <c r="C8" t="s">
        <v>9</v>
      </c>
      <c r="D8" s="2">
        <v>3250.75</v>
      </c>
      <c r="E8" t="str">
        <f t="shared" si="0"/>
        <v>Apr</v>
      </c>
      <c r="F8" s="4"/>
      <c r="G8" s="4"/>
      <c r="H8" s="4"/>
      <c r="I8" s="4"/>
      <c r="J8" s="4"/>
    </row>
    <row r="9" spans="1:10" x14ac:dyDescent="0.3">
      <c r="A9" s="3">
        <v>45771</v>
      </c>
      <c r="B9" t="s">
        <v>14</v>
      </c>
      <c r="C9" t="s">
        <v>5</v>
      </c>
      <c r="D9" s="2">
        <v>4125.6000000000004</v>
      </c>
      <c r="E9" t="str">
        <f t="shared" si="0"/>
        <v>Apr</v>
      </c>
      <c r="F9" s="4"/>
      <c r="G9" s="4"/>
      <c r="H9" s="4"/>
      <c r="I9" s="4"/>
      <c r="J9" s="4"/>
    </row>
    <row r="10" spans="1:10" x14ac:dyDescent="0.3">
      <c r="A10" s="3">
        <v>45780</v>
      </c>
      <c r="B10" t="s">
        <v>15</v>
      </c>
      <c r="C10" t="s">
        <v>5</v>
      </c>
      <c r="D10" s="2">
        <v>3780.9</v>
      </c>
      <c r="E10" t="str">
        <f t="shared" si="0"/>
        <v>May</v>
      </c>
      <c r="F10" s="4"/>
      <c r="G10" s="4"/>
      <c r="H10" s="4"/>
      <c r="I10" s="4"/>
      <c r="J10" s="4"/>
    </row>
    <row r="11" spans="1:10" x14ac:dyDescent="0.3">
      <c r="A11" s="3">
        <v>45796</v>
      </c>
      <c r="B11" t="s">
        <v>16</v>
      </c>
      <c r="C11" t="s">
        <v>7</v>
      </c>
      <c r="D11" s="2">
        <v>1450.25</v>
      </c>
      <c r="E11" t="str">
        <f t="shared" si="0"/>
        <v>May</v>
      </c>
      <c r="F11" s="4"/>
      <c r="G11" s="4"/>
      <c r="H11" s="4"/>
      <c r="I11" s="4"/>
      <c r="J11" s="4"/>
    </row>
    <row r="12" spans="1:10" x14ac:dyDescent="0.3">
      <c r="A12" s="3">
        <v>45816</v>
      </c>
      <c r="B12" t="s">
        <v>8</v>
      </c>
      <c r="C12" t="s">
        <v>9</v>
      </c>
      <c r="D12" s="2">
        <v>2985.4</v>
      </c>
      <c r="E12" t="str">
        <f t="shared" si="0"/>
        <v>Jun</v>
      </c>
      <c r="F12" s="4"/>
      <c r="G12" s="4"/>
      <c r="H12" s="4"/>
      <c r="I12" s="4"/>
      <c r="J12" s="4"/>
    </row>
    <row r="13" spans="1:10" x14ac:dyDescent="0.3">
      <c r="A13" s="3">
        <v>45834</v>
      </c>
      <c r="B13" t="s">
        <v>4</v>
      </c>
      <c r="C13" t="s">
        <v>5</v>
      </c>
      <c r="D13" s="2">
        <v>2650.8</v>
      </c>
      <c r="E13" t="str">
        <f t="shared" si="0"/>
        <v>Jun</v>
      </c>
      <c r="F13" s="4"/>
      <c r="G13" s="4"/>
      <c r="H13" s="4"/>
      <c r="I13" s="4"/>
      <c r="J13" s="4"/>
    </row>
    <row r="14" spans="1:10" x14ac:dyDescent="0.3">
      <c r="A14" s="3">
        <v>45842</v>
      </c>
      <c r="B14" t="s">
        <v>11</v>
      </c>
      <c r="C14" t="s">
        <v>5</v>
      </c>
      <c r="D14" s="2">
        <v>5250.5</v>
      </c>
      <c r="E14" t="str">
        <f t="shared" si="0"/>
        <v>Jul</v>
      </c>
      <c r="F14" s="4"/>
      <c r="G14" s="4"/>
      <c r="H14" s="4"/>
      <c r="I14" s="4"/>
      <c r="J14" s="4"/>
    </row>
    <row r="15" spans="1:10" x14ac:dyDescent="0.3">
      <c r="A15" s="3">
        <v>45856</v>
      </c>
      <c r="B15" t="s">
        <v>6</v>
      </c>
      <c r="C15" t="s">
        <v>7</v>
      </c>
      <c r="D15" s="2">
        <v>1875.35</v>
      </c>
      <c r="E15" t="str">
        <f t="shared" si="0"/>
        <v>Jul</v>
      </c>
      <c r="F15" s="4"/>
      <c r="G15" s="4"/>
      <c r="H15" s="4"/>
      <c r="I15" s="4"/>
      <c r="J15" s="4"/>
    </row>
    <row r="16" spans="1:10" x14ac:dyDescent="0.3">
      <c r="A16" s="3">
        <v>45875</v>
      </c>
      <c r="B16" t="s">
        <v>13</v>
      </c>
      <c r="C16" t="s">
        <v>9</v>
      </c>
      <c r="D16" s="2">
        <v>3450.2</v>
      </c>
      <c r="E16" t="str">
        <f t="shared" si="0"/>
        <v>Aug</v>
      </c>
    </row>
    <row r="17" spans="1:5" x14ac:dyDescent="0.3">
      <c r="A17" s="3">
        <v>45891</v>
      </c>
      <c r="B17" t="s">
        <v>10</v>
      </c>
      <c r="C17" t="s">
        <v>5</v>
      </c>
      <c r="D17" s="2">
        <v>2190.75</v>
      </c>
      <c r="E17" t="str">
        <f t="shared" si="0"/>
        <v>Aug</v>
      </c>
    </row>
    <row r="18" spans="1:5" x14ac:dyDescent="0.3">
      <c r="A18" s="3">
        <v>45905</v>
      </c>
      <c r="B18" t="s">
        <v>14</v>
      </c>
      <c r="C18" t="s">
        <v>5</v>
      </c>
      <c r="D18" s="2">
        <v>4350.6000000000004</v>
      </c>
      <c r="E18" t="str">
        <f t="shared" si="0"/>
        <v>Sep</v>
      </c>
    </row>
    <row r="19" spans="1:5" x14ac:dyDescent="0.3">
      <c r="A19" s="3">
        <v>45917</v>
      </c>
      <c r="B19" t="s">
        <v>12</v>
      </c>
      <c r="C19" t="s">
        <v>7</v>
      </c>
      <c r="D19" s="2">
        <v>980.45</v>
      </c>
      <c r="E19" t="str">
        <f t="shared" si="0"/>
        <v>Sep</v>
      </c>
    </row>
    <row r="20" spans="1:5" x14ac:dyDescent="0.3">
      <c r="A20" s="3">
        <v>45938</v>
      </c>
      <c r="B20" t="s">
        <v>15</v>
      </c>
      <c r="C20" t="s">
        <v>5</v>
      </c>
      <c r="D20" s="2">
        <v>3980.25</v>
      </c>
      <c r="E20" t="str">
        <f t="shared" si="0"/>
        <v>Oct</v>
      </c>
    </row>
    <row r="21" spans="1:5" x14ac:dyDescent="0.3">
      <c r="A21" s="3">
        <v>45953</v>
      </c>
      <c r="B21" t="s">
        <v>16</v>
      </c>
      <c r="C21" t="s">
        <v>7</v>
      </c>
      <c r="D21" s="2">
        <v>1625.8</v>
      </c>
      <c r="E21" t="str">
        <f t="shared" si="0"/>
        <v>Oct</v>
      </c>
    </row>
    <row r="22" spans="1:5" x14ac:dyDescent="0.3">
      <c r="A22" s="3">
        <v>45967</v>
      </c>
      <c r="B22" t="s">
        <v>8</v>
      </c>
      <c r="C22" t="s">
        <v>9</v>
      </c>
      <c r="D22" s="2">
        <v>3650.4</v>
      </c>
      <c r="E22" t="str">
        <f t="shared" si="0"/>
        <v>Nov</v>
      </c>
    </row>
    <row r="23" spans="1:5" x14ac:dyDescent="0.3">
      <c r="A23" s="3">
        <v>45982</v>
      </c>
      <c r="B23" t="s">
        <v>11</v>
      </c>
      <c r="C23" t="s">
        <v>5</v>
      </c>
      <c r="D23" s="2">
        <v>5480.9</v>
      </c>
      <c r="E23" t="str">
        <f t="shared" si="0"/>
        <v>Nov</v>
      </c>
    </row>
    <row r="24" spans="1:5" x14ac:dyDescent="0.3">
      <c r="A24" s="3">
        <v>45996</v>
      </c>
      <c r="B24" t="s">
        <v>4</v>
      </c>
      <c r="C24" t="s">
        <v>5</v>
      </c>
      <c r="D24" s="2">
        <v>2890.65</v>
      </c>
      <c r="E24" t="str">
        <f t="shared" si="0"/>
        <v>Dec</v>
      </c>
    </row>
    <row r="25" spans="1:5" x14ac:dyDescent="0.3">
      <c r="A25" s="3">
        <v>46010</v>
      </c>
      <c r="B25" t="s">
        <v>13</v>
      </c>
      <c r="C25" t="s">
        <v>9</v>
      </c>
      <c r="D25" s="2">
        <v>3750.3</v>
      </c>
      <c r="E25" t="str">
        <f t="shared" si="0"/>
        <v>Dec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D085-6CD0-4D7D-9AD2-9DE9CE93BA99}">
  <dimension ref="A1:H26"/>
  <sheetViews>
    <sheetView tabSelected="1" zoomScale="90" zoomScaleNormal="90" workbookViewId="0">
      <selection activeCell="M17" sqref="M17"/>
    </sheetView>
  </sheetViews>
  <sheetFormatPr defaultRowHeight="14.4" x14ac:dyDescent="0.3"/>
  <cols>
    <col min="1" max="1" width="17.33203125" customWidth="1"/>
    <col min="2" max="2" width="24.109375" customWidth="1"/>
  </cols>
  <sheetData>
    <row r="1" spans="1:8" ht="21" x14ac:dyDescent="0.4">
      <c r="A1" s="11" t="s">
        <v>32</v>
      </c>
      <c r="B1" s="12"/>
      <c r="C1" s="12"/>
      <c r="D1" s="12"/>
      <c r="E1" s="12"/>
      <c r="F1" s="12"/>
      <c r="G1" s="12"/>
      <c r="H1" s="13"/>
    </row>
    <row r="2" spans="1:8" ht="16.2" thickBot="1" x14ac:dyDescent="0.35">
      <c r="A2" s="14" t="s">
        <v>33</v>
      </c>
      <c r="B2" s="15"/>
      <c r="C2" s="15"/>
      <c r="D2" s="15"/>
      <c r="E2" s="15"/>
      <c r="F2" s="15"/>
      <c r="G2" s="15"/>
      <c r="H2" s="16"/>
    </row>
    <row r="4" spans="1:8" ht="18" x14ac:dyDescent="0.35">
      <c r="A4" s="6" t="s">
        <v>17</v>
      </c>
      <c r="B4" s="6"/>
    </row>
    <row r="6" spans="1:8" x14ac:dyDescent="0.3">
      <c r="A6" s="8" t="s">
        <v>18</v>
      </c>
      <c r="B6" s="9" t="s">
        <v>19</v>
      </c>
    </row>
    <row r="7" spans="1:8" x14ac:dyDescent="0.3">
      <c r="A7" s="7" t="s">
        <v>20</v>
      </c>
      <c r="B7" s="17">
        <f>SUMIF('Sales Data'!$E$2:$E$25,A7,'Sales Data'!$D$2:$D$25)</f>
        <v>5631.63</v>
      </c>
    </row>
    <row r="8" spans="1:8" x14ac:dyDescent="0.3">
      <c r="A8" s="7" t="s">
        <v>21</v>
      </c>
      <c r="B8" s="17">
        <f>SUMIF('Sales Data'!$E$2:$E$25,A8,'Sales Data'!$D$2:$D$25)</f>
        <v>6924.21</v>
      </c>
    </row>
    <row r="9" spans="1:8" x14ac:dyDescent="0.3">
      <c r="A9" s="7" t="s">
        <v>22</v>
      </c>
      <c r="B9" s="17">
        <f>SUMIF('Sales Data'!$E$2:$E$25,A9,'Sales Data'!$D$2:$D$25)</f>
        <v>5765.65</v>
      </c>
    </row>
    <row r="10" spans="1:8" x14ac:dyDescent="0.3">
      <c r="A10" s="7" t="s">
        <v>23</v>
      </c>
      <c r="B10" s="17">
        <f>SUMIF('Sales Data'!$E$2:$E$25,A10,'Sales Data'!$D$2:$D$25)</f>
        <v>7376.35</v>
      </c>
    </row>
    <row r="11" spans="1:8" x14ac:dyDescent="0.3">
      <c r="A11" s="7" t="s">
        <v>24</v>
      </c>
      <c r="B11" s="17">
        <f>SUMIF('Sales Data'!$E$2:$E$25,A11,'Sales Data'!$D$2:$D$25)</f>
        <v>5231.1499999999996</v>
      </c>
    </row>
    <row r="12" spans="1:8" x14ac:dyDescent="0.3">
      <c r="A12" s="7" t="s">
        <v>25</v>
      </c>
      <c r="B12" s="17">
        <f>SUMIF('Sales Data'!$E$2:$E$25,A12,'Sales Data'!$D$2:$D$25)</f>
        <v>5636.2000000000007</v>
      </c>
    </row>
    <row r="13" spans="1:8" x14ac:dyDescent="0.3">
      <c r="A13" s="7" t="s">
        <v>26</v>
      </c>
      <c r="B13" s="17">
        <f>SUMIF('Sales Data'!$E$2:$E$25,A13,'Sales Data'!$D$2:$D$25)</f>
        <v>7125.85</v>
      </c>
    </row>
    <row r="14" spans="1:8" x14ac:dyDescent="0.3">
      <c r="A14" s="7" t="s">
        <v>27</v>
      </c>
      <c r="B14" s="17">
        <f>SUMIF('Sales Data'!$E$2:$E$25,A14,'Sales Data'!$D$2:$D$25)</f>
        <v>5640.95</v>
      </c>
    </row>
    <row r="15" spans="1:8" x14ac:dyDescent="0.3">
      <c r="A15" s="7" t="s">
        <v>28</v>
      </c>
      <c r="B15" s="17">
        <f>SUMIF('Sales Data'!$E$2:$E$25,A15,'Sales Data'!$D$2:$D$25)</f>
        <v>5331.05</v>
      </c>
    </row>
    <row r="16" spans="1:8" x14ac:dyDescent="0.3">
      <c r="A16" s="7" t="s">
        <v>29</v>
      </c>
      <c r="B16" s="17">
        <f>SUMIF('Sales Data'!$E$2:$E$25,A16,'Sales Data'!$D$2:$D$25)</f>
        <v>5606.05</v>
      </c>
    </row>
    <row r="17" spans="1:4" x14ac:dyDescent="0.3">
      <c r="A17" s="7" t="s">
        <v>30</v>
      </c>
      <c r="B17" s="17">
        <f>SUMIF('Sales Data'!$E$2:$E$25,A17,'Sales Data'!$D$2:$D$25)</f>
        <v>9131.2999999999993</v>
      </c>
    </row>
    <row r="18" spans="1:4" x14ac:dyDescent="0.3">
      <c r="A18" s="10" t="s">
        <v>31</v>
      </c>
      <c r="B18" s="18">
        <f>SUMIF('Sales Data'!$E$2:$E$25,A18,'Sales Data'!$D$2:$D$25)</f>
        <v>6640.9500000000007</v>
      </c>
    </row>
    <row r="21" spans="1:4" ht="15.6" x14ac:dyDescent="0.3">
      <c r="B21" s="21"/>
    </row>
    <row r="22" spans="1:4" ht="15.6" x14ac:dyDescent="0.3">
      <c r="A22" s="20"/>
      <c r="B22" s="20"/>
      <c r="C22" s="20"/>
      <c r="D22" s="20"/>
    </row>
    <row r="23" spans="1:4" ht="15.6" x14ac:dyDescent="0.3">
      <c r="A23" s="20"/>
      <c r="B23" s="20"/>
      <c r="C23" s="20"/>
      <c r="D23" s="20"/>
    </row>
    <row r="24" spans="1:4" ht="15.6" x14ac:dyDescent="0.3">
      <c r="A24" s="20"/>
      <c r="B24" s="20"/>
      <c r="C24" s="20"/>
      <c r="D24" s="20"/>
    </row>
    <row r="25" spans="1:4" ht="15.6" x14ac:dyDescent="0.3">
      <c r="A25" s="20"/>
      <c r="B25" s="20"/>
      <c r="C25" s="20"/>
      <c r="D25" s="20"/>
    </row>
    <row r="26" spans="1:4" ht="15.6" x14ac:dyDescent="0.3">
      <c r="A26" s="19"/>
      <c r="B26" s="19"/>
      <c r="C26" s="19"/>
      <c r="D26" s="19"/>
    </row>
  </sheetData>
  <mergeCells count="3">
    <mergeCell ref="A1:H1"/>
    <mergeCell ref="A2:H2"/>
    <mergeCell ref="A4:B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Tyagi</dc:creator>
  <cp:lastModifiedBy>Nishant Tyagi</cp:lastModifiedBy>
  <dcterms:created xsi:type="dcterms:W3CDTF">2026-09-24T04:59:32Z</dcterms:created>
  <dcterms:modified xsi:type="dcterms:W3CDTF">2026-09-24T05:33:29Z</dcterms:modified>
</cp:coreProperties>
</file>